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Job Details" sheetId="2" r:id="rId2"/>
    <sheet name="Transformations" sheetId="3" r:id="rId3"/>
    <sheet name="Jobs Transformations Xref" sheetId="4" r:id="rId4"/>
    <sheet name="Jobs Transformations List" sheetId="5" r:id="rId5"/>
    <sheet name="Item Node Info" sheetId="6" r:id="rId6"/>
    <sheet name="Functions" sheetId="7" r:id="rId7"/>
    <sheet name="Subject Areas" sheetId="8" r:id="rId8"/>
    <sheet name="SQL Statements" sheetId="9" r:id="rId9"/>
    <sheet name="Combined Checksums" sheetId="10" r:id="rId10"/>
    <sheet name="Transformation Expressions" sheetId="11" r:id="rId11"/>
    <sheet name="Misc Job Attributes" sheetId="12" r:id="rId12"/>
    <sheet name="Embedded SQL Summary" sheetId="13" r:id="rId13"/>
    <sheet name="Embedded SQL Programs" sheetId="14" r:id="rId14"/>
    <sheet name="Embedded SQL Script Categories" sheetId="15" r:id="rId15"/>
    <sheet name="Embedded SQL UNKNOWN Category" sheetId="16" r:id="rId16"/>
  </sheets>
  <definedNames>
    <definedName name="_xlnm._FilterDatabase" localSheetId="9" hidden="1">'Combined Checksums'!$A$1:$C$4</definedName>
    <definedName name="_xlnm._FilterDatabase" localSheetId="13" hidden="1">'Embedded SQL Programs'!$A$1:$L$3</definedName>
    <definedName name="_xlnm._FilterDatabase" localSheetId="14" hidden="1">'Embedded SQL Script Categories'!$A$1:$B$2</definedName>
    <definedName name="_xlnm._FilterDatabase" localSheetId="15" hidden="1">'Embedded SQL UNKNOWN Category'!$A$1:$B$3</definedName>
    <definedName name="_xlnm._FilterDatabase" localSheetId="6" hidden="1">Functions!$A$1:$B$1</definedName>
    <definedName name="_xlnm._FilterDatabase" localSheetId="5" hidden="1">'Item Node Info'!$A$1:$F$33</definedName>
    <definedName name="_xlnm._FilterDatabase" localSheetId="1" hidden="1">'Job Details'!$A$1:$L$2</definedName>
    <definedName name="_xlnm._FilterDatabase" localSheetId="4" hidden="1">'Jobs Transformations List'!$A$1:$C$18</definedName>
    <definedName name="_xlnm._FilterDatabase" localSheetId="3" hidden="1">'Jobs Transformations Xref'!$A$1:$V$2</definedName>
    <definedName name="_xlnm._FilterDatabase" localSheetId="11" hidden="1">'Misc Job Attributes'!$A$1:$D$1</definedName>
    <definedName name="_xlnm._FilterDatabase" localSheetId="8" hidden="1">'SQL Statements'!$A$1:$F$3</definedName>
    <definedName name="_xlnm._FilterDatabase" localSheetId="7" hidden="1">'Subject Areas'!$A$1:$C$1</definedName>
    <definedName name="_xlnm._FilterDatabase" localSheetId="10" hidden="1">'Transformation Expressions'!$A$1:$D$3</definedName>
    <definedName name="_xlnm._FilterDatabase" localSheetId="2" hidden="1">Transformations!$A$1:$D$18</definedName>
  </definedName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G1" authorId="0">
      <text>
        <r>
          <rPr>
            <sz val="8"/>
            <color indexed="81"/>
            <rFont val="Tahoma"/>
            <family val="2"/>
          </rPr>
          <t>Annotations are not included in the count</t>
        </r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E1" authorId="0">
      <text>
        <r>
          <rPr>
            <sz val="8"/>
            <color indexed="81"/>
            <rFont val="Tahoma"/>
            <family val="2"/>
          </rPr>
          <t>Annotations are not included in the count</t>
        </r>
      </text>
    </comment>
    <comment ref="F1" authorId="0">
      <text>
        <r>
          <rPr>
            <sz val="8"/>
            <color indexed="81"/>
            <rFont val="Tahoma"/>
            <family val="2"/>
          </rPr>
          <t>Annotations are not included in the count</t>
        </r>
      </text>
    </comment>
  </commentList>
</comments>
</file>

<file path=xl/sharedStrings.xml><?xml version="1.0" encoding="utf-8"?>
<sst xmlns="http://schemas.openxmlformats.org/spreadsheetml/2006/main" count="409" uniqueCount="210">
  <si>
    <t>Run date/time: 2026-03-25 08:27:33</t>
  </si>
  <si>
    <t>Code Base Details</t>
  </si>
  <si>
    <t>Total Jobs</t>
  </si>
  <si>
    <t>Total Nodes</t>
  </si>
  <si>
    <t>Analyzer Version: 5.6.6 Build 20251204</t>
  </si>
  <si>
    <t>Command Line Options:</t>
  </si>
  <si>
    <t>Option</t>
  </si>
  <si>
    <t>Value</t>
  </si>
  <si>
    <t>-E</t>
  </si>
  <si>
    <t>-F</t>
  </si>
  <si>
    <t>-Q</t>
  </si>
  <si>
    <t>ALL</t>
  </si>
  <si>
    <t>-d</t>
  </si>
  <si>
    <t>C:/Users/schoudhary/Downloads/Lakebridge_Testing/Shubhankar_WF/Lakebridge_test/Input</t>
  </si>
  <si>
    <t>-e</t>
  </si>
  <si>
    <t>-r</t>
  </si>
  <si>
    <t>C:\Users\schoudhary\Downloads\Lakebridge_Testing\Shubhankar_WF\Lakebridge_test\Output\report.xlsx</t>
  </si>
  <si>
    <t>-t</t>
  </si>
  <si>
    <t>ALTERYX</t>
  </si>
  <si>
    <t>Analyzer run duration:</t>
  </si>
  <si>
    <t>0h, 0m, 2s</t>
  </si>
  <si>
    <t>Job Name</t>
  </si>
  <si>
    <t>Folder</t>
  </si>
  <si>
    <t>Source File</t>
  </si>
  <si>
    <t>Included</t>
  </si>
  <si>
    <t>Job Type</t>
  </si>
  <si>
    <t>Categorization</t>
  </si>
  <si>
    <t>Number of Nodes</t>
  </si>
  <si>
    <t>Categorization Metrics</t>
  </si>
  <si>
    <t>Legacy Checksum</t>
  </si>
  <si>
    <t>Checksum Extended</t>
  </si>
  <si>
    <t>LineStart</t>
  </si>
  <si>
    <t>LineEnd</t>
  </si>
  <si>
    <t>Testing_POC_FirstWF</t>
  </si>
  <si>
    <t>Testing_POC_FirstWF.yxmd</t>
  </si>
  <si>
    <t>YES</t>
  </si>
  <si>
    <t>JOB</t>
  </si>
  <si>
    <t>HIGH</t>
  </si>
  <si>
    <t>Node count w/o annotations: 31, Source count: 0, Target count: 0, Joiner count: 0, Aggregator count: 0, Lookup count: 0, Complex nodes count: 0, Expressions with 5 or more function calls: 0, Medium category breaks: 0, High category breaks: 1</t>
  </si>
  <si>
    <t>D3D95366C95428AD3D94957F3D0F9D8F</t>
  </si>
  <si>
    <t>c20d246a6a59596c52ff1e7372680bc488e69bd515755df945d086caeef4de55e62292560c82985a80bab3f2fc8068c1a7bf90f3d86a967f399242cc48b8be25ca91570e75d92aaf585c610acec6c767</t>
  </si>
  <si>
    <t>Job Complexity Categorization</t>
  </si>
  <si>
    <t>LOW</t>
  </si>
  <si>
    <t>MEDIUM</t>
  </si>
  <si>
    <t>VERY_HIGH</t>
  </si>
  <si>
    <t>Job Type Count</t>
  </si>
  <si>
    <t>Transformation Type</t>
  </si>
  <si>
    <t># of Occurrences</t>
  </si>
  <si>
    <t>Occurs in # of Jobs</t>
  </si>
  <si>
    <t>Supported?</t>
  </si>
  <si>
    <t>AlteryxCtrlContainer</t>
  </si>
  <si>
    <t>No</t>
  </si>
  <si>
    <t>AlteryxFilter</t>
  </si>
  <si>
    <t>Yes</t>
  </si>
  <si>
    <t>AlteryxSelect</t>
  </si>
  <si>
    <t>AlteryxDbFileOutput</t>
  </si>
  <si>
    <t>AlteryxFormula</t>
  </si>
  <si>
    <t>AlteryxBrowseV2</t>
  </si>
  <si>
    <t>Macro:Cleanse.yxmc</t>
  </si>
  <si>
    <t>AlteryxSummarize</t>
  </si>
  <si>
    <t>AlteryxDbFileInput</t>
  </si>
  <si>
    <t>AlteryxSort</t>
  </si>
  <si>
    <t>AlteryxUnion</t>
  </si>
  <si>
    <t>AlteryxUnique</t>
  </si>
  <si>
    <t>AlteryxSample</t>
  </si>
  <si>
    <t>AlteryxRegEx</t>
  </si>
  <si>
    <t>AlteryxTranspose</t>
  </si>
  <si>
    <t>Macro:SelectRecords.yxmc</t>
  </si>
  <si>
    <t>AlteryxGuiToolkit.ToolContainer.ToolContainer</t>
  </si>
  <si>
    <t>Priority</t>
  </si>
  <si>
    <t>Job</t>
  </si>
  <si>
    <t>Transformation</t>
  </si>
  <si>
    <t>Count</t>
  </si>
  <si>
    <t>Item</t>
  </si>
  <si>
    <t>Node Name</t>
  </si>
  <si>
    <t>Orig Node Type</t>
  </si>
  <si>
    <t>Conformed Node Type</t>
  </si>
  <si>
    <t>Node Order</t>
  </si>
  <si>
    <t>Subjob Ref</t>
  </si>
  <si>
    <t>Formula_21</t>
  </si>
  <si>
    <t>TRANSFORMATION</t>
  </si>
  <si>
    <t>Subjob Lineage</t>
  </si>
  <si>
    <t>Sort_12</t>
  </si>
  <si>
    <t>SORTER</t>
  </si>
  <si>
    <t>Aggregator_27</t>
  </si>
  <si>
    <t>AGGREGATOR</t>
  </si>
  <si>
    <t>Cleanse_7</t>
  </si>
  <si>
    <t>CLEANSE</t>
  </si>
  <si>
    <t>Select_10</t>
  </si>
  <si>
    <t>FIELD_FILTER</t>
  </si>
  <si>
    <t>Cleanse_18</t>
  </si>
  <si>
    <t>COMP_6</t>
  </si>
  <si>
    <t>Union_26</t>
  </si>
  <si>
    <t>UNION</t>
  </si>
  <si>
    <t>FileInput_17</t>
  </si>
  <si>
    <t>SOURCE</t>
  </si>
  <si>
    <t>COMP_30</t>
  </si>
  <si>
    <t>FileOutput_38</t>
  </si>
  <si>
    <t>TARGET</t>
  </si>
  <si>
    <t>Browse_4</t>
  </si>
  <si>
    <t>REWRITE_TABLE</t>
  </si>
  <si>
    <t>Formula_13</t>
  </si>
  <si>
    <t>Transpose_32</t>
  </si>
  <si>
    <t>SIMPLE_UNPIVOT</t>
  </si>
  <si>
    <t>Filter_19</t>
  </si>
  <si>
    <t>FILTER</t>
  </si>
  <si>
    <t>COMP_36</t>
  </si>
  <si>
    <t>Sort_20</t>
  </si>
  <si>
    <t>Container_8</t>
  </si>
  <si>
    <t>CONTAINER</t>
  </si>
  <si>
    <t>COMP_35</t>
  </si>
  <si>
    <t>COMP_37</t>
  </si>
  <si>
    <t>Browse_11</t>
  </si>
  <si>
    <t>COMP_23</t>
  </si>
  <si>
    <t>Select_22</t>
  </si>
  <si>
    <t>Aggregator_29</t>
  </si>
  <si>
    <t>FileOutput_34</t>
  </si>
  <si>
    <t>FileOutput_39</t>
  </si>
  <si>
    <t>Filter_25</t>
  </si>
  <si>
    <t>COMP_16</t>
  </si>
  <si>
    <t>Select_15</t>
  </si>
  <si>
    <t>Unique_14</t>
  </si>
  <si>
    <t>UNIQUE_ROW</t>
  </si>
  <si>
    <t>FileInput_3</t>
  </si>
  <si>
    <t>Filter_5</t>
  </si>
  <si>
    <t>Function</t>
  </si>
  <si>
    <t># of Calls</t>
  </si>
  <si>
    <t>Subject Area Name</t>
  </si>
  <si>
    <t>Subject Area Code</t>
  </si>
  <si>
    <t>Description</t>
  </si>
  <si>
    <t>Item Name</t>
  </si>
  <si>
    <t>Node</t>
  </si>
  <si>
    <t>Complexity</t>
  </si>
  <si>
    <t>Connection Type</t>
  </si>
  <si>
    <t>Length</t>
  </si>
  <si>
    <t>SQL</t>
  </si>
  <si>
    <t>EXCEL</t>
  </si>
  <si>
    <t>C:\Users\schoudhary\Downloads\Lakebridge_Testing\Shubhankar_WF\StudentPerformance2.xlsx|||`Sheet1$`</t>
  </si>
  <si>
    <t>UNKNOWN</t>
  </si>
  <si>
    <t>C:\Users\schoudhary\Downloads\Lakebridge_Testing\Shubhankar_WF\StudentsPerformance.csv</t>
  </si>
  <si>
    <t>ETL Job Name</t>
  </si>
  <si>
    <t>Level</t>
  </si>
  <si>
    <t>Extended Checksum</t>
  </si>
  <si>
    <t>ETL</t>
  </si>
  <si>
    <t>Testing_POC_FirstWF.FileInput_17</t>
  </si>
  <si>
    <t>9bc1074106a3e3641bf6bc5768e01f1b5689419680b06f7fc0a75cfcf44f89e91774c30a7915130180bab3f2fc8068c13eb55511ff16dfc8399242cc48b8be25ca91570e75d92aafffeadde2b833605fd2128f97a997fffa37cda934068c470b915073cde218e6fd</t>
  </si>
  <si>
    <t>Testing_POC_FirstWF.FileInput_3</t>
  </si>
  <si>
    <t>7f2c7e439098311f642e6666f35a429930f432e3289b3338e1bef1192906342a1774c30a7915130180bab3f2fc8068c13eb55511ff16dfc8399242cc48b8be25ca91570e75d92aafffeadde2b833605fd2128f97a997fffa007537b7686e0873565ef120306811ed</t>
  </si>
  <si>
    <t>Field</t>
  </si>
  <si>
    <t>Expression</t>
  </si>
  <si>
    <t>Total Score</t>
  </si>
  <si>
    <t>[math score] + [reading score] + [writing score]</t>
  </si>
  <si>
    <t>total score</t>
  </si>
  <si>
    <t>[math score]+[writing score]+[reading score]</t>
  </si>
  <si>
    <t>Attribute</t>
  </si>
  <si>
    <t>Total SQL Scripts</t>
  </si>
  <si>
    <t>Total FILE Scripts</t>
  </si>
  <si>
    <t>Total DDLs</t>
  </si>
  <si>
    <t>Total CTAS Scripts</t>
  </si>
  <si>
    <t>Total Tables (in scripts)</t>
  </si>
  <si>
    <t>Total Views</t>
  </si>
  <si>
    <t>Total Materialized Views</t>
  </si>
  <si>
    <t>Total Indicies</t>
  </si>
  <si>
    <t>Total Packages</t>
  </si>
  <si>
    <t>Total Procedures</t>
  </si>
  <si>
    <t>Total Functions</t>
  </si>
  <si>
    <t>Total Triggers</t>
  </si>
  <si>
    <t>Total Dynamic SQL Calls</t>
  </si>
  <si>
    <t>Total Loops &amp; Cursors</t>
  </si>
  <si>
    <t>Total Conditionals</t>
  </si>
  <si>
    <t>Total MLOAD Scripts</t>
  </si>
  <si>
    <t>Total FLOAD Scripts</t>
  </si>
  <si>
    <t>Total Lines of Code</t>
  </si>
  <si>
    <t>Total Duplicated SQL Items</t>
  </si>
  <si>
    <t>0h, 0m, 9s</t>
  </si>
  <si>
    <t>Program Name</t>
  </si>
  <si>
    <t>Line Count</t>
  </si>
  <si>
    <t>Statement Count</t>
  </si>
  <si>
    <t>Procedure And Function Counts</t>
  </si>
  <si>
    <t>Script Category</t>
  </si>
  <si>
    <t>Script Type</t>
  </si>
  <si>
    <t>Testing_POC_FirstWF_FileInput_17_EXCEL_1.sql</t>
  </si>
  <si>
    <t>C:/Users/schoudhary/Downloads/Lakebridge_Testing/Shubhankar_WF/Lakebridge_test/Output/report_SQL_TEMP/Testing_POC_FirstWF_FileInput_17_EXCEL_1.sql</t>
  </si>
  <si>
    <t>Total Statement count: 1, Conventional Statement count: 1, Simple Statement count: 0, Pivot functions: 0, XML functions: 0, Loops: 0, Medium category breaks: 0, High category breaks: 0</t>
  </si>
  <si>
    <t>AC1E23B57397F4028B8A1EE2D221B3ED</t>
  </si>
  <si>
    <t>Testing_POC_FirstWF_FileInput_3_UNKNOWN_2.sql</t>
  </si>
  <si>
    <t>C:/Users/schoudhary/Downloads/Lakebridge_Testing/Shubhankar_WF/Lakebridge_test/Output/report_SQL_TEMP/Testing_POC_FirstWF_FileInput_3_UNKNOWN_2.sql</t>
  </si>
  <si>
    <t>F0D240D6AE6F259F9066CA379539E75A</t>
  </si>
  <si>
    <t>SQL Script Categories</t>
  </si>
  <si>
    <t>SQL unknown category scripts</t>
  </si>
  <si>
    <t>C:\Users\schoudhary\Downloads\Lakebridge_Testing\Shubhankar_WF\StudentPerformance2.xlsx|||`Sheet1$`;</t>
  </si>
  <si>
    <t>C:\Users\schoudhary\Downloads\Lakebridge_Testing\Shubhankar_WF\StudentsPerformance.csv;</t>
  </si>
  <si>
    <t>Procedure or Function</t>
  </si>
  <si>
    <t>Worksheet Index</t>
  </si>
  <si>
    <t>Summary</t>
  </si>
  <si>
    <t>Job Details</t>
  </si>
  <si>
    <t>Transformations</t>
  </si>
  <si>
    <t>Jobs Transformations Xref</t>
  </si>
  <si>
    <t>Jobs Transformations List</t>
  </si>
  <si>
    <t>Item Node Info</t>
  </si>
  <si>
    <t>Functions</t>
  </si>
  <si>
    <t>Subject Areas</t>
  </si>
  <si>
    <t>SQL Statements</t>
  </si>
  <si>
    <t>Combined Checksums</t>
  </si>
  <si>
    <t>Transformation Expressions</t>
  </si>
  <si>
    <t>Misc Job Attributes</t>
  </si>
  <si>
    <t>Embedded SQL Summary</t>
  </si>
  <si>
    <t>Embedded SQL Programs</t>
  </si>
  <si>
    <t>Embedded SQL Script Categories</t>
  </si>
  <si>
    <t>Embedded SQL UNKNOWN Category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</si>
</sst>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u/>
      <sz val="9"/>
      <color rgb="FF0000FF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color rgb="FFFF0000"/>
      <name val="Calibri"/>
      <family val="2"/>
      <scheme val="minor"/>
    </font>
    <font>
      <sz val="8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2" borderId="1" xfId="0" applyFont="1" applyFill="1" applyBorder="1" applyAlignment="1">
      <alignment horizontal="centerContinuous" vertical="center"/>
    </xf>
    <xf numFmtId="0" fontId="1" fillId="2" borderId="1" xfId="0" applyFont="1" applyFill="1" applyBorder="1" applyAlignment="1">
      <alignment horizontal="right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1">
    <dxf>
      <font>
        <color rgb="FF000000"/>
      </font>
      <fill>
        <patternFill>
          <bgColor rgb="FFE6B8B7"/>
        </patternFill>
      </fill>
    </dxf>
  </dxfs>
  <tableStyles count="0" defaultTableStyle="TableStyleMedium9" defaultPivotStyle="PivotStyleLight16"/>
  <colors>
    <mruColors>
      <color rgb="FFD9D9D9"/>
    </mruColors>
  </color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/><Relationship Id="rId2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7"/>
  <sheetViews>
    <sheetView tabSelected="1" workbookViewId="0"/>
  </sheetViews>
  <sheetFormatPr defaultRowHeight="15"/>
  <cols>
    <col min="1" max="1" width="25.7109375" customWidth="1"/>
    <col min="2" max="2" width="10.7109375" customWidth="1"/>
    <col min="4" max="4" width="70.7109375" customWidth="1"/>
    <col min="5" max="5" width="10.7109375" customWidth="1"/>
    <col min="6" max="6" width="40.7109375" customWidth="1"/>
  </cols>
  <sheetData>
    <row r="1" spans="1:6">
      <c r="A1" s="1" t="s">
        <v>0</v>
      </c>
      <c r="B1" s="1"/>
      <c r="D1" s="2" t="s">
        <v>193</v>
      </c>
      <c r="E1" s="2" t="s">
        <v>4</v>
      </c>
      <c r="F1" s="2"/>
    </row>
    <row r="2" spans="1:6">
      <c r="D2" s="3" t="s">
        <v>194</v>
      </c>
      <c r="E2" s="2" t="s">
        <v>5</v>
      </c>
      <c r="F2" s="2"/>
    </row>
    <row r="3" spans="1:6">
      <c r="A3" s="4" t="s">
        <v>1</v>
      </c>
      <c r="B3" s="4"/>
      <c r="D3" s="3" t="s">
        <v>195</v>
      </c>
      <c r="E3" s="2" t="s">
        <v>6</v>
      </c>
      <c r="F3" s="2" t="s">
        <v>7</v>
      </c>
    </row>
    <row r="4" spans="1:6">
      <c r="A4" s="1" t="s">
        <v>2</v>
      </c>
      <c r="B4" s="5">
        <f>SUM(B10:B13)</f>
        <v>0</v>
      </c>
      <c r="D4" s="3" t="s">
        <v>196</v>
      </c>
      <c r="E4" s="2" t="s">
        <v>8</v>
      </c>
      <c r="F4" s="6"/>
    </row>
    <row r="5" spans="1:6">
      <c r="A5" s="1" t="s">
        <v>3</v>
      </c>
      <c r="B5" s="5">
        <v>32</v>
      </c>
      <c r="D5" s="3" t="s">
        <v>197</v>
      </c>
      <c r="E5" s="2" t="s">
        <v>9</v>
      </c>
      <c r="F5" s="6">
        <v>10000000000000</v>
      </c>
    </row>
    <row r="6" spans="1:6">
      <c r="D6" s="3" t="s">
        <v>198</v>
      </c>
      <c r="E6" s="2" t="s">
        <v>10</v>
      </c>
      <c r="F6" s="6" t="s">
        <v>11</v>
      </c>
    </row>
    <row r="7" spans="1:6">
      <c r="D7" s="3" t="s">
        <v>199</v>
      </c>
      <c r="E7" s="2" t="s">
        <v>12</v>
      </c>
      <c r="F7" s="6" t="s">
        <v>13</v>
      </c>
    </row>
    <row r="8" spans="1:6">
      <c r="D8" s="3" t="s">
        <v>200</v>
      </c>
      <c r="E8" s="2" t="s">
        <v>14</v>
      </c>
      <c r="F8" s="6">
        <v>1</v>
      </c>
    </row>
    <row r="9" spans="1:6">
      <c r="A9" s="4" t="s">
        <v>41</v>
      </c>
      <c r="B9" s="4"/>
      <c r="D9" s="3" t="s">
        <v>201</v>
      </c>
      <c r="E9" s="2" t="s">
        <v>15</v>
      </c>
      <c r="F9" s="6" t="s">
        <v>16</v>
      </c>
    </row>
    <row r="10" spans="1:6">
      <c r="A10" s="1" t="s">
        <v>42</v>
      </c>
      <c r="B10" s="5">
        <f>COUNTIFS('Job Details'!F:F,"LOW",'Job Details'!D:D,"YES")</f>
        <v>0</v>
      </c>
      <c r="D10" s="3" t="s">
        <v>202</v>
      </c>
      <c r="E10" s="2" t="s">
        <v>17</v>
      </c>
      <c r="F10" s="6" t="s">
        <v>18</v>
      </c>
    </row>
    <row r="11" spans="1:6">
      <c r="A11" s="1" t="s">
        <v>43</v>
      </c>
      <c r="B11" s="5">
        <f>COUNTIFS('Job Details'!F:F,"MEDIUM",'Job Details'!D:D,"YES")</f>
        <v>0</v>
      </c>
      <c r="D11" s="3" t="s">
        <v>203</v>
      </c>
      <c r="E11" s="2" t="s">
        <v>19</v>
      </c>
    </row>
    <row r="12" spans="1:6">
      <c r="A12" s="1" t="s">
        <v>37</v>
      </c>
      <c r="B12" s="5">
        <f>COUNTIFS('Job Details'!F:F,"HIGH",'Job Details'!D:D,"YES")</f>
        <v>0</v>
      </c>
      <c r="D12" s="3" t="s">
        <v>204</v>
      </c>
      <c r="E12" s="6" t="s">
        <v>20</v>
      </c>
    </row>
    <row r="13" spans="1:6">
      <c r="A13" s="1" t="s">
        <v>44</v>
      </c>
      <c r="B13" s="5">
        <f>COUNTIFS('Job Details'!F:F,"VERY_HIGH",'Job Details'!D:D,"YES")</f>
        <v>0</v>
      </c>
      <c r="D13" s="3" t="s">
        <v>205</v>
      </c>
    </row>
    <row r="14" spans="1:6">
      <c r="D14" s="3" t="s">
        <v>206</v>
      </c>
    </row>
    <row r="15" spans="1:6">
      <c r="A15" s="4" t="s">
        <v>45</v>
      </c>
      <c r="B15" s="4"/>
      <c r="D15" s="3" t="s">
        <v>207</v>
      </c>
    </row>
    <row r="16" spans="1:6">
      <c r="A16" s="1" t="s">
        <v>36</v>
      </c>
      <c r="B16" s="5">
        <v>1</v>
      </c>
      <c r="D16" s="3" t="s">
        <v>208</v>
      </c>
    </row>
    <row r="17" spans="4:4">
      <c r="D17" s="3" t="s">
        <v>209</v>
      </c>
    </row>
  </sheetData>
  <mergeCells count="6">
    <mergeCell ref="A1:B1"/>
    <mergeCell ref="A3:B3"/>
    <mergeCell ref="E1:F1"/>
    <mergeCell ref="E2:F2"/>
    <mergeCell ref="A9:B9"/>
    <mergeCell ref="A15:B15"/>
  </mergeCells>
  <hyperlinks>
    <hyperlink ref="D2" location="'Summary'!A1" display="Summary"/>
    <hyperlink ref="D3" location="'Job Details'!A1" display="Job Details"/>
    <hyperlink ref="D4" location="'Transformations'!A1" display="Transformations"/>
    <hyperlink ref="D5" location="'Jobs Transformations Xref'!A1" display="Jobs Transformations Xref"/>
    <hyperlink ref="D6" location="'Jobs Transformations List'!A1" display="Jobs Transformations List"/>
    <hyperlink ref="D7" location="'Item Node Info'!A1" display="Item Node Info"/>
    <hyperlink ref="D8" location="'Functions'!A1" display="Functions"/>
    <hyperlink ref="D9" location="'Subject Areas'!A1" display="Subject Areas"/>
    <hyperlink ref="D10" location="'SQL Statements'!A1" display="SQL Statements"/>
    <hyperlink ref="D11" location="'Combined Checksums'!A1" display="Combined Checksums"/>
    <hyperlink ref="D12" location="'Transformation Expressions'!A1" display="Transformation Expressions"/>
    <hyperlink ref="D13" location="'Misc Job Attributes'!A1" display="Misc Job Attributes"/>
    <hyperlink ref="D14" location="'Embedded SQL Summary'!A1" display="Embedded SQL Summary"/>
    <hyperlink ref="D15" location="'Embedded SQL Programs'!A1" display="Embedded SQL Programs"/>
    <hyperlink ref="D16" location="'Embedded SQL Script Categories'!A1" display="Embedded SQL Script Categories"/>
    <hyperlink ref="D17" location="'Embedded SQL UNKNOWN Category'!A1" display="Embedded SQL UNKNOWN Category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30.7109375" customWidth="1"/>
    <col min="2" max="2" width="20.7109375" customWidth="1"/>
    <col min="3" max="3" width="30.7109375" customWidth="1"/>
    <col min="4" max="4" width="10.7109375" customWidth="1"/>
    <col min="5" max="7" width="15.7109375" customWidth="1"/>
    <col min="8" max="8" width="75.7109375" customWidth="1"/>
    <col min="9" max="9" width="40.7109375" customWidth="1"/>
    <col min="10" max="11" width="15.7109375" customWidth="1"/>
  </cols>
  <sheetData>
    <row r="1" spans="1:13">
      <c r="A1" s="2" t="s">
        <v>21</v>
      </c>
      <c r="B1" s="2" t="s">
        <v>22</v>
      </c>
      <c r="C1" s="2" t="s">
        <v>23</v>
      </c>
      <c r="D1" s="2" t="s">
        <v>24</v>
      </c>
      <c r="E1" s="2" t="s">
        <v>25</v>
      </c>
      <c r="F1" s="2" t="s">
        <v>26</v>
      </c>
      <c r="G1" s="2" t="s">
        <v>27</v>
      </c>
      <c r="H1" s="2" t="s">
        <v>28</v>
      </c>
      <c r="I1" s="2" t="s">
        <v>29</v>
      </c>
      <c r="J1" s="2" t="s">
        <v>30</v>
      </c>
      <c r="K1" s="2" t="s">
        <v>31</v>
      </c>
      <c r="L1" s="2" t="s">
        <v>32</v>
      </c>
    </row>
    <row r="2" spans="1:13">
      <c r="A2" s="6" t="s">
        <v>33</v>
      </c>
      <c r="B2" s="6" t="s">
        <v>13</v>
      </c>
      <c r="C2" s="6" t="s">
        <v>34</v>
      </c>
      <c r="D2" s="6" t="s">
        <v>35</v>
      </c>
      <c r="E2" s="6" t="s">
        <v>36</v>
      </c>
      <c r="F2" s="6" t="s">
        <v>37</v>
      </c>
      <c r="G2" s="6">
        <v>32</v>
      </c>
      <c r="H2" s="6" t="s">
        <v>38</v>
      </c>
      <c r="I2" s="6" t="s">
        <v>39</v>
      </c>
      <c r="J2" s="6" t="s">
        <v>40</v>
      </c>
      <c r="K2" s="6"/>
      <c r="L2" s="6"/>
      <c r="M2" s="6"/>
    </row>
  </sheetData>
  <autoFilter ref="A1:L2"/>
  <conditionalFormatting sqref="A2:I9999">
    <cfRule type="expression" dxfId="0" priority="1">
      <formula>AND($A2 &lt;&gt; "", $D2 &lt;&gt; "YES")</formula>
    </cfRule>
  </conditionalFormatting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N18"/>
  <sheetViews>
    <sheetView workbookViewId="0"/>
  </sheetViews>
  <sheetFormatPr defaultRowHeight="15"/>
  <cols>
    <col min="1" max="1" width="30.7109375" customWidth="1"/>
    <col min="2" max="4" width="15.7109375" customWidth="1"/>
    <col min="5" max="6" width="30.7109375" customWidth="1"/>
    <col min="10" max="11" width="0" customWidth="1"/>
    <col min="13" max="14" width="0" customWidth="1"/>
  </cols>
  <sheetData>
    <row r="1" spans="1:14">
      <c r="A1" s="2" t="s">
        <v>46</v>
      </c>
      <c r="B1" s="2" t="s">
        <v>47</v>
      </c>
      <c r="C1" s="2" t="s">
        <v>48</v>
      </c>
      <c r="D1" s="2" t="s">
        <v>49</v>
      </c>
    </row>
    <row r="2" spans="1:14">
      <c r="A2" s="6" t="s">
        <v>50</v>
      </c>
      <c r="B2" s="6">
        <f>SUMIFS(INDIRECT("'Jobs Transformations Xref'!"&amp;K2&amp;":"&amp;K2),'Jobs Transformations Xref'!B:B,"YES")</f>
        <v>0</v>
      </c>
      <c r="C2" s="6">
        <f>COUNTIFS(INDIRECT("'Jobs Transformations Xref'!"&amp;K2&amp;":"&amp;K2),"&gt;=1",'Jobs Transformations Xref'!B:B,"YES")</f>
        <v>0</v>
      </c>
      <c r="D2" s="7" t="s">
        <v>51</v>
      </c>
      <c r="J2" s="6">
        <f>MATCH(A2,'Jobs Transformations Xref'!$1:$1,0)</f>
        <v>0</v>
      </c>
      <c r="K2" s="6">
        <f>SUBSTITUTE( ADDRESS(1,J2,4),"1","")</f>
        <v>0</v>
      </c>
      <c r="M2" s="6">
        <v>4</v>
      </c>
      <c r="N2" s="6">
        <v>1</v>
      </c>
    </row>
    <row r="3" spans="1:14">
      <c r="A3" s="6" t="s">
        <v>52</v>
      </c>
      <c r="B3" s="6">
        <f>SUMIFS(INDIRECT("'Jobs Transformations Xref'!"&amp;K3&amp;":"&amp;K3),'Jobs Transformations Xref'!B:B,"YES")</f>
        <v>0</v>
      </c>
      <c r="C3" s="6">
        <f>COUNTIFS(INDIRECT("'Jobs Transformations Xref'!"&amp;K3&amp;":"&amp;K3),"&gt;=1",'Jobs Transformations Xref'!B:B,"YES")</f>
        <v>0</v>
      </c>
      <c r="D3" s="6" t="s">
        <v>53</v>
      </c>
      <c r="J3" s="6">
        <f>MATCH(A3,'Jobs Transformations Xref'!$1:$1,0)</f>
        <v>0</v>
      </c>
      <c r="K3" s="6">
        <f>SUBSTITUTE( ADDRESS(1,J3,4),"1","")</f>
        <v>0</v>
      </c>
      <c r="M3" s="6">
        <v>3</v>
      </c>
      <c r="N3" s="6">
        <v>1</v>
      </c>
    </row>
    <row r="4" spans="1:14">
      <c r="A4" s="6" t="s">
        <v>54</v>
      </c>
      <c r="B4" s="6">
        <f>SUMIFS(INDIRECT("'Jobs Transformations Xref'!"&amp;K4&amp;":"&amp;K4),'Jobs Transformations Xref'!B:B,"YES")</f>
        <v>0</v>
      </c>
      <c r="C4" s="6">
        <f>COUNTIFS(INDIRECT("'Jobs Transformations Xref'!"&amp;K4&amp;":"&amp;K4),"&gt;=1",'Jobs Transformations Xref'!B:B,"YES")</f>
        <v>0</v>
      </c>
      <c r="D4" s="6" t="s">
        <v>53</v>
      </c>
      <c r="J4" s="6">
        <f>MATCH(A4,'Jobs Transformations Xref'!$1:$1,0)</f>
        <v>0</v>
      </c>
      <c r="K4" s="6">
        <f>SUBSTITUTE( ADDRESS(1,J4,4),"1","")</f>
        <v>0</v>
      </c>
      <c r="M4" s="6">
        <v>3</v>
      </c>
      <c r="N4" s="6">
        <v>1</v>
      </c>
    </row>
    <row r="5" spans="1:14">
      <c r="A5" s="6" t="s">
        <v>55</v>
      </c>
      <c r="B5" s="6">
        <f>SUMIFS(INDIRECT("'Jobs Transformations Xref'!"&amp;K5&amp;":"&amp;K5),'Jobs Transformations Xref'!B:B,"YES")</f>
        <v>0</v>
      </c>
      <c r="C5" s="6">
        <f>COUNTIFS(INDIRECT("'Jobs Transformations Xref'!"&amp;K5&amp;":"&amp;K5),"&gt;=1",'Jobs Transformations Xref'!B:B,"YES")</f>
        <v>0</v>
      </c>
      <c r="D5" s="6" t="s">
        <v>53</v>
      </c>
      <c r="J5" s="6">
        <f>MATCH(A5,'Jobs Transformations Xref'!$1:$1,0)</f>
        <v>0</v>
      </c>
      <c r="K5" s="6">
        <f>SUBSTITUTE( ADDRESS(1,J5,4),"1","")</f>
        <v>0</v>
      </c>
      <c r="M5" s="6">
        <v>3</v>
      </c>
      <c r="N5" s="6">
        <v>1</v>
      </c>
    </row>
    <row r="6" spans="1:14">
      <c r="A6" s="6" t="s">
        <v>56</v>
      </c>
      <c r="B6" s="6">
        <f>SUMIFS(INDIRECT("'Jobs Transformations Xref'!"&amp;K6&amp;":"&amp;K6),'Jobs Transformations Xref'!B:B,"YES")</f>
        <v>0</v>
      </c>
      <c r="C6" s="6">
        <f>COUNTIFS(INDIRECT("'Jobs Transformations Xref'!"&amp;K6&amp;":"&amp;K6),"&gt;=1",'Jobs Transformations Xref'!B:B,"YES")</f>
        <v>0</v>
      </c>
      <c r="D6" s="6" t="s">
        <v>53</v>
      </c>
      <c r="J6" s="6">
        <f>MATCH(A6,'Jobs Transformations Xref'!$1:$1,0)</f>
        <v>0</v>
      </c>
      <c r="K6" s="6">
        <f>SUBSTITUTE( ADDRESS(1,J6,4),"1","")</f>
        <v>0</v>
      </c>
      <c r="M6" s="6">
        <v>2</v>
      </c>
      <c r="N6" s="6">
        <v>1</v>
      </c>
    </row>
    <row r="7" spans="1:14">
      <c r="A7" s="6" t="s">
        <v>57</v>
      </c>
      <c r="B7" s="6">
        <f>SUMIFS(INDIRECT("'Jobs Transformations Xref'!"&amp;K7&amp;":"&amp;K7),'Jobs Transformations Xref'!B:B,"YES")</f>
        <v>0</v>
      </c>
      <c r="C7" s="6">
        <f>COUNTIFS(INDIRECT("'Jobs Transformations Xref'!"&amp;K7&amp;":"&amp;K7),"&gt;=1",'Jobs Transformations Xref'!B:B,"YES")</f>
        <v>0</v>
      </c>
      <c r="D7" s="6" t="s">
        <v>53</v>
      </c>
      <c r="J7" s="6">
        <f>MATCH(A7,'Jobs Transformations Xref'!$1:$1,0)</f>
        <v>0</v>
      </c>
      <c r="K7" s="6">
        <f>SUBSTITUTE( ADDRESS(1,J7,4),"1","")</f>
        <v>0</v>
      </c>
      <c r="M7" s="6">
        <v>2</v>
      </c>
      <c r="N7" s="6">
        <v>1</v>
      </c>
    </row>
    <row r="8" spans="1:14">
      <c r="A8" s="6" t="s">
        <v>58</v>
      </c>
      <c r="B8" s="6">
        <f>SUMIFS(INDIRECT("'Jobs Transformations Xref'!"&amp;K8&amp;":"&amp;K8),'Jobs Transformations Xref'!B:B,"YES")</f>
        <v>0</v>
      </c>
      <c r="C8" s="6">
        <f>COUNTIFS(INDIRECT("'Jobs Transformations Xref'!"&amp;K8&amp;":"&amp;K8),"&gt;=1",'Jobs Transformations Xref'!B:B,"YES")</f>
        <v>0</v>
      </c>
      <c r="D8" s="6" t="s">
        <v>53</v>
      </c>
      <c r="J8" s="6">
        <f>MATCH(A8,'Jobs Transformations Xref'!$1:$1,0)</f>
        <v>0</v>
      </c>
      <c r="K8" s="6">
        <f>SUBSTITUTE( ADDRESS(1,J8,4),"1","")</f>
        <v>0</v>
      </c>
      <c r="M8" s="6">
        <v>2</v>
      </c>
      <c r="N8" s="6">
        <v>1</v>
      </c>
    </row>
    <row r="9" spans="1:14">
      <c r="A9" s="6" t="s">
        <v>59</v>
      </c>
      <c r="B9" s="6">
        <f>SUMIFS(INDIRECT("'Jobs Transformations Xref'!"&amp;K9&amp;":"&amp;K9),'Jobs Transformations Xref'!B:B,"YES")</f>
        <v>0</v>
      </c>
      <c r="C9" s="6">
        <f>COUNTIFS(INDIRECT("'Jobs Transformations Xref'!"&amp;K9&amp;":"&amp;K9),"&gt;=1",'Jobs Transformations Xref'!B:B,"YES")</f>
        <v>0</v>
      </c>
      <c r="D9" s="6" t="s">
        <v>53</v>
      </c>
      <c r="J9" s="6">
        <f>MATCH(A9,'Jobs Transformations Xref'!$1:$1,0)</f>
        <v>0</v>
      </c>
      <c r="K9" s="6">
        <f>SUBSTITUTE( ADDRESS(1,J9,4),"1","")</f>
        <v>0</v>
      </c>
      <c r="M9" s="6">
        <v>2</v>
      </c>
      <c r="N9" s="6">
        <v>1</v>
      </c>
    </row>
    <row r="10" spans="1:14">
      <c r="A10" s="6" t="s">
        <v>60</v>
      </c>
      <c r="B10" s="6">
        <f>SUMIFS(INDIRECT("'Jobs Transformations Xref'!"&amp;K10&amp;":"&amp;K10),'Jobs Transformations Xref'!B:B,"YES")</f>
        <v>0</v>
      </c>
      <c r="C10" s="6">
        <f>COUNTIFS(INDIRECT("'Jobs Transformations Xref'!"&amp;K10&amp;":"&amp;K10),"&gt;=1",'Jobs Transformations Xref'!B:B,"YES")</f>
        <v>0</v>
      </c>
      <c r="D10" s="6" t="s">
        <v>53</v>
      </c>
      <c r="J10" s="6">
        <f>MATCH(A10,'Jobs Transformations Xref'!$1:$1,0)</f>
        <v>0</v>
      </c>
      <c r="K10" s="6">
        <f>SUBSTITUTE( ADDRESS(1,J10,4),"1","")</f>
        <v>0</v>
      </c>
      <c r="M10" s="6">
        <v>2</v>
      </c>
      <c r="N10" s="6">
        <v>1</v>
      </c>
    </row>
    <row r="11" spans="1:14">
      <c r="A11" s="6" t="s">
        <v>61</v>
      </c>
      <c r="B11" s="6">
        <f>SUMIFS(INDIRECT("'Jobs Transformations Xref'!"&amp;K11&amp;":"&amp;K11),'Jobs Transformations Xref'!B:B,"YES")</f>
        <v>0</v>
      </c>
      <c r="C11" s="6">
        <f>COUNTIFS(INDIRECT("'Jobs Transformations Xref'!"&amp;K11&amp;":"&amp;K11),"&gt;=1",'Jobs Transformations Xref'!B:B,"YES")</f>
        <v>0</v>
      </c>
      <c r="D11" s="6" t="s">
        <v>53</v>
      </c>
      <c r="J11" s="6">
        <f>MATCH(A11,'Jobs Transformations Xref'!$1:$1,0)</f>
        <v>0</v>
      </c>
      <c r="K11" s="6">
        <f>SUBSTITUTE( ADDRESS(1,J11,4),"1","")</f>
        <v>0</v>
      </c>
      <c r="M11" s="6">
        <v>2</v>
      </c>
      <c r="N11" s="6">
        <v>1</v>
      </c>
    </row>
    <row r="12" spans="1:14">
      <c r="A12" s="6" t="s">
        <v>62</v>
      </c>
      <c r="B12" s="6">
        <f>SUMIFS(INDIRECT("'Jobs Transformations Xref'!"&amp;K12&amp;":"&amp;K12),'Jobs Transformations Xref'!B:B,"YES")</f>
        <v>0</v>
      </c>
      <c r="C12" s="6">
        <f>COUNTIFS(INDIRECT("'Jobs Transformations Xref'!"&amp;K12&amp;":"&amp;K12),"&gt;=1",'Jobs Transformations Xref'!B:B,"YES")</f>
        <v>0</v>
      </c>
      <c r="D12" s="6" t="s">
        <v>53</v>
      </c>
      <c r="J12" s="6">
        <f>MATCH(A12,'Jobs Transformations Xref'!$1:$1,0)</f>
        <v>0</v>
      </c>
      <c r="K12" s="6">
        <f>SUBSTITUTE( ADDRESS(1,J12,4),"1","")</f>
        <v>0</v>
      </c>
      <c r="M12" s="6">
        <v>1</v>
      </c>
      <c r="N12" s="6">
        <v>1</v>
      </c>
    </row>
    <row r="13" spans="1:14">
      <c r="A13" s="6" t="s">
        <v>63</v>
      </c>
      <c r="B13" s="6">
        <f>SUMIFS(INDIRECT("'Jobs Transformations Xref'!"&amp;K13&amp;":"&amp;K13),'Jobs Transformations Xref'!B:B,"YES")</f>
        <v>0</v>
      </c>
      <c r="C13" s="6">
        <f>COUNTIFS(INDIRECT("'Jobs Transformations Xref'!"&amp;K13&amp;":"&amp;K13),"&gt;=1",'Jobs Transformations Xref'!B:B,"YES")</f>
        <v>0</v>
      </c>
      <c r="D13" s="6" t="s">
        <v>53</v>
      </c>
      <c r="J13" s="6">
        <f>MATCH(A13,'Jobs Transformations Xref'!$1:$1,0)</f>
        <v>0</v>
      </c>
      <c r="K13" s="6">
        <f>SUBSTITUTE( ADDRESS(1,J13,4),"1","")</f>
        <v>0</v>
      </c>
      <c r="M13" s="6">
        <v>1</v>
      </c>
      <c r="N13" s="6">
        <v>1</v>
      </c>
    </row>
    <row r="14" spans="1:14">
      <c r="A14" s="6" t="s">
        <v>64</v>
      </c>
      <c r="B14" s="6">
        <f>SUMIFS(INDIRECT("'Jobs Transformations Xref'!"&amp;K14&amp;":"&amp;K14),'Jobs Transformations Xref'!B:B,"YES")</f>
        <v>0</v>
      </c>
      <c r="C14" s="6">
        <f>COUNTIFS(INDIRECT("'Jobs Transformations Xref'!"&amp;K14&amp;":"&amp;K14),"&gt;=1",'Jobs Transformations Xref'!B:B,"YES")</f>
        <v>0</v>
      </c>
      <c r="D14" s="7" t="s">
        <v>51</v>
      </c>
      <c r="J14" s="6">
        <f>MATCH(A14,'Jobs Transformations Xref'!$1:$1,0)</f>
        <v>0</v>
      </c>
      <c r="K14" s="6">
        <f>SUBSTITUTE( ADDRESS(1,J14,4),"1","")</f>
        <v>0</v>
      </c>
      <c r="M14" s="6">
        <v>1</v>
      </c>
      <c r="N14" s="6">
        <v>1</v>
      </c>
    </row>
    <row r="15" spans="1:14">
      <c r="A15" s="6" t="s">
        <v>65</v>
      </c>
      <c r="B15" s="6">
        <f>SUMIFS(INDIRECT("'Jobs Transformations Xref'!"&amp;K15&amp;":"&amp;K15),'Jobs Transformations Xref'!B:B,"YES")</f>
        <v>0</v>
      </c>
      <c r="C15" s="6">
        <f>COUNTIFS(INDIRECT("'Jobs Transformations Xref'!"&amp;K15&amp;":"&amp;K15),"&gt;=1",'Jobs Transformations Xref'!B:B,"YES")</f>
        <v>0</v>
      </c>
      <c r="D15" s="7" t="s">
        <v>51</v>
      </c>
      <c r="J15" s="6">
        <f>MATCH(A15,'Jobs Transformations Xref'!$1:$1,0)</f>
        <v>0</v>
      </c>
      <c r="K15" s="6">
        <f>SUBSTITUTE( ADDRESS(1,J15,4),"1","")</f>
        <v>0</v>
      </c>
      <c r="M15" s="6">
        <v>1</v>
      </c>
      <c r="N15" s="6">
        <v>1</v>
      </c>
    </row>
    <row r="16" spans="1:14">
      <c r="A16" s="6" t="s">
        <v>66</v>
      </c>
      <c r="B16" s="6">
        <f>SUMIFS(INDIRECT("'Jobs Transformations Xref'!"&amp;K16&amp;":"&amp;K16),'Jobs Transformations Xref'!B:B,"YES")</f>
        <v>0</v>
      </c>
      <c r="C16" s="6">
        <f>COUNTIFS(INDIRECT("'Jobs Transformations Xref'!"&amp;K16&amp;":"&amp;K16),"&gt;=1",'Jobs Transformations Xref'!B:B,"YES")</f>
        <v>0</v>
      </c>
      <c r="D16" s="6" t="s">
        <v>53</v>
      </c>
      <c r="J16" s="6">
        <f>MATCH(A16,'Jobs Transformations Xref'!$1:$1,0)</f>
        <v>0</v>
      </c>
      <c r="K16" s="6">
        <f>SUBSTITUTE( ADDRESS(1,J16,4),"1","")</f>
        <v>0</v>
      </c>
      <c r="M16" s="6">
        <v>1</v>
      </c>
      <c r="N16" s="6">
        <v>1</v>
      </c>
    </row>
    <row r="17" spans="1:14">
      <c r="A17" s="6" t="s">
        <v>67</v>
      </c>
      <c r="B17" s="6">
        <f>SUMIFS(INDIRECT("'Jobs Transformations Xref'!"&amp;K17&amp;":"&amp;K17),'Jobs Transformations Xref'!B:B,"YES")</f>
        <v>0</v>
      </c>
      <c r="C17" s="6">
        <f>COUNTIFS(INDIRECT("'Jobs Transformations Xref'!"&amp;K17&amp;":"&amp;K17),"&gt;=1",'Jobs Transformations Xref'!B:B,"YES")</f>
        <v>0</v>
      </c>
      <c r="D17" s="7" t="s">
        <v>51</v>
      </c>
      <c r="J17" s="6">
        <f>MATCH(A17,'Jobs Transformations Xref'!$1:$1,0)</f>
        <v>0</v>
      </c>
      <c r="K17" s="6">
        <f>SUBSTITUTE( ADDRESS(1,J17,4),"1","")</f>
        <v>0</v>
      </c>
      <c r="M17" s="6">
        <v>1</v>
      </c>
      <c r="N17" s="6">
        <v>1</v>
      </c>
    </row>
    <row r="18" spans="1:14">
      <c r="A18" s="6" t="s">
        <v>68</v>
      </c>
      <c r="B18" s="6">
        <f>SUMIFS(INDIRECT("'Jobs Transformations Xref'!"&amp;K18&amp;":"&amp;K18),'Jobs Transformations Xref'!B:B,"YES")</f>
        <v>0</v>
      </c>
      <c r="C18" s="6">
        <f>COUNTIFS(INDIRECT("'Jobs Transformations Xref'!"&amp;K18&amp;":"&amp;K18),"&gt;=1",'Jobs Transformations Xref'!B:B,"YES")</f>
        <v>0</v>
      </c>
      <c r="D18" s="6" t="s">
        <v>53</v>
      </c>
      <c r="J18" s="6">
        <f>MATCH(A18,'Jobs Transformations Xref'!$1:$1,0)</f>
        <v>0</v>
      </c>
      <c r="K18" s="6">
        <f>SUBSTITUTE( ADDRESS(1,J18,4),"1","")</f>
        <v>0</v>
      </c>
      <c r="M18" s="6">
        <v>1</v>
      </c>
      <c r="N18" s="6">
        <v>1</v>
      </c>
    </row>
  </sheetData>
  <autoFilter ref="A1:D18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W2"/>
  <sheetViews>
    <sheetView workbookViewId="0">
      <pane xSplit="5" ySplit="1" topLeftCell="F2" activePane="bottomRight" state="frozen"/>
      <selection pane="topRight" activeCell="F1" sqref="F1"/>
      <selection pane="bottomLeft" activeCell="A2" sqref="A2"/>
      <selection pane="bottomRight"/>
    </sheetView>
  </sheetViews>
  <sheetFormatPr defaultRowHeight="15"/>
  <cols>
    <col min="1" max="1" width="50.7109375" customWidth="1"/>
    <col min="2" max="6" width="6.7109375" customWidth="1"/>
    <col min="7" max="23" width="12.7109375" customWidth="1"/>
  </cols>
  <sheetData>
    <row r="1" spans="1:23">
      <c r="B1" s="2" t="s">
        <v>24</v>
      </c>
      <c r="C1" s="2" t="s">
        <v>25</v>
      </c>
      <c r="D1" s="2" t="s">
        <v>26</v>
      </c>
      <c r="E1" s="2" t="s">
        <v>27</v>
      </c>
      <c r="F1" s="2" t="s">
        <v>69</v>
      </c>
      <c r="G1" s="2" t="s">
        <v>57</v>
      </c>
      <c r="H1" s="2" t="s">
        <v>50</v>
      </c>
      <c r="I1" s="2" t="s">
        <v>60</v>
      </c>
      <c r="J1" s="2" t="s">
        <v>55</v>
      </c>
      <c r="K1" s="2" t="s">
        <v>52</v>
      </c>
      <c r="L1" s="2" t="s">
        <v>56</v>
      </c>
      <c r="M1" s="2" t="s">
        <v>68</v>
      </c>
      <c r="N1" s="2" t="s">
        <v>65</v>
      </c>
      <c r="O1" s="2" t="s">
        <v>64</v>
      </c>
      <c r="P1" s="2" t="s">
        <v>54</v>
      </c>
      <c r="Q1" s="2" t="s">
        <v>61</v>
      </c>
      <c r="R1" s="2" t="s">
        <v>59</v>
      </c>
      <c r="S1" s="2" t="s">
        <v>66</v>
      </c>
      <c r="T1" s="2" t="s">
        <v>62</v>
      </c>
      <c r="U1" s="2" t="s">
        <v>63</v>
      </c>
      <c r="V1" s="2" t="s">
        <v>58</v>
      </c>
      <c r="W1" s="2" t="s">
        <v>67</v>
      </c>
    </row>
    <row r="2" spans="1:23">
      <c r="A2" s="2" t="s">
        <v>33</v>
      </c>
      <c r="B2" s="6">
        <f>'Job Details'!D2</f>
        <v>0</v>
      </c>
      <c r="C2" s="6">
        <f>'Job Details'!E2</f>
        <v>0</v>
      </c>
      <c r="D2" s="6">
        <f>'Job Details'!F2</f>
        <v>0</v>
      </c>
      <c r="E2" s="6">
        <f>'Job Details'!G2</f>
        <v>0</v>
      </c>
      <c r="G2" s="8">
        <v>2</v>
      </c>
      <c r="H2" s="8">
        <v>4</v>
      </c>
      <c r="I2" s="8">
        <v>2</v>
      </c>
      <c r="J2" s="8">
        <v>3</v>
      </c>
      <c r="K2" s="8">
        <v>3</v>
      </c>
      <c r="L2" s="8">
        <v>2</v>
      </c>
      <c r="M2" s="8">
        <v>1</v>
      </c>
      <c r="N2" s="8">
        <v>1</v>
      </c>
      <c r="O2" s="8">
        <v>1</v>
      </c>
      <c r="P2" s="8">
        <v>3</v>
      </c>
      <c r="Q2" s="8">
        <v>2</v>
      </c>
      <c r="R2" s="8">
        <v>2</v>
      </c>
      <c r="S2" s="8">
        <v>1</v>
      </c>
      <c r="T2" s="8">
        <v>1</v>
      </c>
      <c r="U2" s="8">
        <v>1</v>
      </c>
      <c r="V2" s="8">
        <v>2</v>
      </c>
      <c r="W2" s="8">
        <v>1</v>
      </c>
    </row>
  </sheetData>
  <autoFilter ref="A1:V2"/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"/>
  <sheetViews>
    <sheetView workbookViewId="0"/>
  </sheetViews>
  <sheetFormatPr defaultRowHeight="15"/>
  <cols>
    <col min="1" max="3" width="50.7109375" customWidth="1"/>
  </cols>
  <sheetData>
    <row r="1" spans="1:3">
      <c r="A1" s="2" t="s">
        <v>70</v>
      </c>
      <c r="B1" s="2" t="s">
        <v>71</v>
      </c>
      <c r="C1" s="2" t="s">
        <v>72</v>
      </c>
    </row>
    <row r="2" spans="1:3">
      <c r="A2" s="6" t="s">
        <v>33</v>
      </c>
      <c r="B2" s="6" t="s">
        <v>57</v>
      </c>
      <c r="C2" s="6">
        <v>2</v>
      </c>
    </row>
    <row r="3" spans="1:3">
      <c r="A3" s="6" t="s">
        <v>33</v>
      </c>
      <c r="B3" s="6" t="s">
        <v>50</v>
      </c>
      <c r="C3" s="6">
        <v>4</v>
      </c>
    </row>
    <row r="4" spans="1:3">
      <c r="A4" s="6" t="s">
        <v>33</v>
      </c>
      <c r="B4" s="6" t="s">
        <v>60</v>
      </c>
      <c r="C4" s="6">
        <v>2</v>
      </c>
    </row>
    <row r="5" spans="1:3">
      <c r="A5" s="6" t="s">
        <v>33</v>
      </c>
      <c r="B5" s="6" t="s">
        <v>55</v>
      </c>
      <c r="C5" s="6">
        <v>3</v>
      </c>
    </row>
    <row r="6" spans="1:3">
      <c r="A6" s="6" t="s">
        <v>33</v>
      </c>
      <c r="B6" s="6" t="s">
        <v>52</v>
      </c>
      <c r="C6" s="6">
        <v>3</v>
      </c>
    </row>
    <row r="7" spans="1:3">
      <c r="A7" s="6" t="s">
        <v>33</v>
      </c>
      <c r="B7" s="6" t="s">
        <v>56</v>
      </c>
      <c r="C7" s="6">
        <v>2</v>
      </c>
    </row>
    <row r="8" spans="1:3">
      <c r="A8" s="6" t="s">
        <v>33</v>
      </c>
      <c r="B8" s="6" t="s">
        <v>68</v>
      </c>
      <c r="C8" s="6">
        <v>1</v>
      </c>
    </row>
    <row r="9" spans="1:3">
      <c r="A9" s="6" t="s">
        <v>33</v>
      </c>
      <c r="B9" s="6" t="s">
        <v>65</v>
      </c>
      <c r="C9" s="6">
        <v>1</v>
      </c>
    </row>
    <row r="10" spans="1:3">
      <c r="A10" s="6" t="s">
        <v>33</v>
      </c>
      <c r="B10" s="6" t="s">
        <v>64</v>
      </c>
      <c r="C10" s="6">
        <v>1</v>
      </c>
    </row>
    <row r="11" spans="1:3">
      <c r="A11" s="6" t="s">
        <v>33</v>
      </c>
      <c r="B11" s="6" t="s">
        <v>54</v>
      </c>
      <c r="C11" s="6">
        <v>3</v>
      </c>
    </row>
    <row r="12" spans="1:3">
      <c r="A12" s="6" t="s">
        <v>33</v>
      </c>
      <c r="B12" s="6" t="s">
        <v>61</v>
      </c>
      <c r="C12" s="6">
        <v>2</v>
      </c>
    </row>
    <row r="13" spans="1:3">
      <c r="A13" s="6" t="s">
        <v>33</v>
      </c>
      <c r="B13" s="6" t="s">
        <v>59</v>
      </c>
      <c r="C13" s="6">
        <v>2</v>
      </c>
    </row>
    <row r="14" spans="1:3">
      <c r="A14" s="6" t="s">
        <v>33</v>
      </c>
      <c r="B14" s="6" t="s">
        <v>66</v>
      </c>
      <c r="C14" s="6">
        <v>1</v>
      </c>
    </row>
    <row r="15" spans="1:3">
      <c r="A15" s="6" t="s">
        <v>33</v>
      </c>
      <c r="B15" s="6" t="s">
        <v>62</v>
      </c>
      <c r="C15" s="6">
        <v>1</v>
      </c>
    </row>
    <row r="16" spans="1:3">
      <c r="A16" s="6" t="s">
        <v>33</v>
      </c>
      <c r="B16" s="6" t="s">
        <v>63</v>
      </c>
      <c r="C16" s="6">
        <v>1</v>
      </c>
    </row>
    <row r="17" spans="1:3">
      <c r="A17" s="6" t="s">
        <v>33</v>
      </c>
      <c r="B17" s="6" t="s">
        <v>58</v>
      </c>
      <c r="C17" s="6">
        <v>2</v>
      </c>
    </row>
    <row r="18" spans="1:3">
      <c r="A18" s="6" t="s">
        <v>33</v>
      </c>
      <c r="B18" s="6" t="s">
        <v>67</v>
      </c>
      <c r="C18" s="6">
        <v>1</v>
      </c>
    </row>
  </sheetData>
  <autoFilter ref="A1:C18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33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50.7109375" customWidth="1"/>
    <col min="2" max="2" width="25.7109375" customWidth="1"/>
    <col min="3" max="4" width="30.7109375" customWidth="1"/>
    <col min="5" max="5" width="10.7109375" customWidth="1"/>
    <col min="6" max="7" width="50.7109375" customWidth="1"/>
  </cols>
  <sheetData>
    <row r="1" spans="1:7">
      <c r="A1" s="2" t="s">
        <v>73</v>
      </c>
      <c r="B1" s="2" t="s">
        <v>74</v>
      </c>
      <c r="C1" s="2" t="s">
        <v>75</v>
      </c>
      <c r="D1" s="2" t="s">
        <v>76</v>
      </c>
      <c r="E1" s="2" t="s">
        <v>77</v>
      </c>
      <c r="F1" s="2" t="s">
        <v>78</v>
      </c>
      <c r="G1" s="2" t="s">
        <v>81</v>
      </c>
    </row>
    <row r="2" spans="1:7">
      <c r="A2" s="6" t="s">
        <v>33</v>
      </c>
      <c r="B2" s="6" t="s">
        <v>79</v>
      </c>
      <c r="C2" s="6"/>
      <c r="D2" s="6" t="s">
        <v>80</v>
      </c>
      <c r="E2" s="6"/>
      <c r="F2" s="6"/>
    </row>
    <row r="3" spans="1:7">
      <c r="A3" s="6" t="s">
        <v>33</v>
      </c>
      <c r="B3" s="6" t="s">
        <v>82</v>
      </c>
      <c r="C3" s="6"/>
      <c r="D3" s="6" t="s">
        <v>83</v>
      </c>
      <c r="E3" s="6"/>
      <c r="F3" s="6"/>
    </row>
    <row r="4" spans="1:7">
      <c r="A4" s="6" t="s">
        <v>33</v>
      </c>
      <c r="B4" s="6" t="s">
        <v>84</v>
      </c>
      <c r="C4" s="6"/>
      <c r="D4" s="6" t="s">
        <v>85</v>
      </c>
      <c r="E4" s="6"/>
      <c r="F4" s="6"/>
    </row>
    <row r="5" spans="1:7">
      <c r="A5" s="6" t="s">
        <v>33</v>
      </c>
      <c r="B5" s="6" t="s">
        <v>86</v>
      </c>
      <c r="C5" s="6"/>
      <c r="D5" s="6" t="s">
        <v>87</v>
      </c>
      <c r="E5" s="6"/>
      <c r="F5" s="6"/>
    </row>
    <row r="6" spans="1:7">
      <c r="A6" s="6" t="s">
        <v>33</v>
      </c>
      <c r="B6" s="6" t="s">
        <v>88</v>
      </c>
      <c r="C6" s="6"/>
      <c r="D6" s="6" t="s">
        <v>89</v>
      </c>
      <c r="E6" s="6"/>
      <c r="F6" s="6"/>
    </row>
    <row r="7" spans="1:7">
      <c r="A7" s="6" t="s">
        <v>33</v>
      </c>
      <c r="B7" s="6" t="s">
        <v>90</v>
      </c>
      <c r="C7" s="6"/>
      <c r="D7" s="6" t="s">
        <v>87</v>
      </c>
      <c r="E7" s="6"/>
      <c r="F7" s="6"/>
    </row>
    <row r="8" spans="1:7">
      <c r="A8" s="6" t="s">
        <v>33</v>
      </c>
      <c r="B8" s="6" t="s">
        <v>91</v>
      </c>
      <c r="C8" s="6"/>
      <c r="D8" s="6"/>
      <c r="E8" s="6"/>
      <c r="F8" s="6"/>
    </row>
    <row r="9" spans="1:7">
      <c r="A9" s="6" t="s">
        <v>33</v>
      </c>
      <c r="B9" s="6" t="s">
        <v>92</v>
      </c>
      <c r="C9" s="6"/>
      <c r="D9" s="6" t="s">
        <v>93</v>
      </c>
      <c r="E9" s="6"/>
      <c r="F9" s="6"/>
    </row>
    <row r="10" spans="1:7">
      <c r="A10" s="6" t="s">
        <v>33</v>
      </c>
      <c r="B10" s="6" t="s">
        <v>94</v>
      </c>
      <c r="C10" s="6"/>
      <c r="D10" s="6" t="s">
        <v>95</v>
      </c>
      <c r="E10" s="6"/>
      <c r="F10" s="6"/>
    </row>
    <row r="11" spans="1:7">
      <c r="A11" s="6" t="s">
        <v>33</v>
      </c>
      <c r="B11" s="6" t="s">
        <v>96</v>
      </c>
      <c r="C11" s="6"/>
      <c r="D11" s="6"/>
      <c r="E11" s="6"/>
      <c r="F11" s="6"/>
    </row>
    <row r="12" spans="1:7">
      <c r="A12" s="6" t="s">
        <v>33</v>
      </c>
      <c r="B12" s="6" t="s">
        <v>97</v>
      </c>
      <c r="C12" s="6"/>
      <c r="D12" s="6" t="s">
        <v>98</v>
      </c>
      <c r="E12" s="6"/>
      <c r="F12" s="6"/>
    </row>
    <row r="13" spans="1:7">
      <c r="A13" s="6" t="s">
        <v>33</v>
      </c>
      <c r="B13" s="6" t="s">
        <v>99</v>
      </c>
      <c r="C13" s="6"/>
      <c r="D13" s="6" t="s">
        <v>100</v>
      </c>
      <c r="E13" s="6"/>
      <c r="F13" s="6"/>
    </row>
    <row r="14" spans="1:7">
      <c r="A14" s="6" t="s">
        <v>33</v>
      </c>
      <c r="B14" s="6" t="s">
        <v>101</v>
      </c>
      <c r="C14" s="6"/>
      <c r="D14" s="6" t="s">
        <v>80</v>
      </c>
      <c r="E14" s="6"/>
      <c r="F14" s="6"/>
    </row>
    <row r="15" spans="1:7">
      <c r="A15" s="6" t="s">
        <v>33</v>
      </c>
      <c r="B15" s="6" t="s">
        <v>102</v>
      </c>
      <c r="C15" s="6"/>
      <c r="D15" s="6" t="s">
        <v>103</v>
      </c>
      <c r="E15" s="6"/>
      <c r="F15" s="6"/>
    </row>
    <row r="16" spans="1:7">
      <c r="A16" s="6" t="s">
        <v>33</v>
      </c>
      <c r="B16" s="6" t="s">
        <v>104</v>
      </c>
      <c r="C16" s="6"/>
      <c r="D16" s="6" t="s">
        <v>105</v>
      </c>
      <c r="E16" s="6"/>
      <c r="F16" s="6"/>
    </row>
    <row r="17" spans="1:6">
      <c r="A17" s="6" t="s">
        <v>33</v>
      </c>
      <c r="B17" s="6" t="s">
        <v>106</v>
      </c>
      <c r="C17" s="6"/>
      <c r="D17" s="6"/>
      <c r="E17" s="6"/>
      <c r="F17" s="6"/>
    </row>
    <row r="18" spans="1:6">
      <c r="A18" s="6" t="s">
        <v>33</v>
      </c>
      <c r="B18" s="6" t="s">
        <v>107</v>
      </c>
      <c r="C18" s="6"/>
      <c r="D18" s="6" t="s">
        <v>83</v>
      </c>
      <c r="E18" s="6"/>
      <c r="F18" s="6"/>
    </row>
    <row r="19" spans="1:6">
      <c r="A19" s="6" t="s">
        <v>33</v>
      </c>
      <c r="B19" s="6" t="s">
        <v>108</v>
      </c>
      <c r="C19" s="6"/>
      <c r="D19" s="6" t="s">
        <v>109</v>
      </c>
      <c r="E19" s="6"/>
      <c r="F19" s="6"/>
    </row>
    <row r="20" spans="1:6">
      <c r="A20" s="6" t="s">
        <v>33</v>
      </c>
      <c r="B20" s="6" t="s">
        <v>110</v>
      </c>
      <c r="C20" s="6"/>
      <c r="D20" s="6"/>
      <c r="E20" s="6"/>
      <c r="F20" s="6"/>
    </row>
    <row r="21" spans="1:6">
      <c r="A21" s="6" t="s">
        <v>33</v>
      </c>
      <c r="B21" s="6" t="s">
        <v>111</v>
      </c>
      <c r="C21" s="6"/>
      <c r="D21" s="6"/>
      <c r="E21" s="6"/>
      <c r="F21" s="6"/>
    </row>
    <row r="22" spans="1:6">
      <c r="A22" s="6" t="s">
        <v>33</v>
      </c>
      <c r="B22" s="6" t="s">
        <v>112</v>
      </c>
      <c r="C22" s="6"/>
      <c r="D22" s="6" t="s">
        <v>100</v>
      </c>
      <c r="E22" s="6"/>
      <c r="F22" s="6"/>
    </row>
    <row r="23" spans="1:6">
      <c r="A23" s="6" t="s">
        <v>33</v>
      </c>
      <c r="B23" s="6" t="s">
        <v>113</v>
      </c>
      <c r="C23" s="6"/>
      <c r="D23" s="6"/>
      <c r="E23" s="6"/>
      <c r="F23" s="6"/>
    </row>
    <row r="24" spans="1:6">
      <c r="A24" s="6" t="s">
        <v>33</v>
      </c>
      <c r="B24" s="6" t="s">
        <v>114</v>
      </c>
      <c r="C24" s="6"/>
      <c r="D24" s="6" t="s">
        <v>89</v>
      </c>
      <c r="E24" s="6"/>
      <c r="F24" s="6"/>
    </row>
    <row r="25" spans="1:6">
      <c r="A25" s="6" t="s">
        <v>33</v>
      </c>
      <c r="B25" s="6" t="s">
        <v>115</v>
      </c>
      <c r="C25" s="6"/>
      <c r="D25" s="6" t="s">
        <v>85</v>
      </c>
      <c r="E25" s="6"/>
      <c r="F25" s="6"/>
    </row>
    <row r="26" spans="1:6">
      <c r="A26" s="6" t="s">
        <v>33</v>
      </c>
      <c r="B26" s="6" t="s">
        <v>116</v>
      </c>
      <c r="C26" s="6"/>
      <c r="D26" s="6" t="s">
        <v>98</v>
      </c>
      <c r="E26" s="6"/>
      <c r="F26" s="6"/>
    </row>
    <row r="27" spans="1:6">
      <c r="A27" s="6" t="s">
        <v>33</v>
      </c>
      <c r="B27" s="6" t="s">
        <v>117</v>
      </c>
      <c r="C27" s="6"/>
      <c r="D27" s="6" t="s">
        <v>98</v>
      </c>
      <c r="E27" s="6"/>
      <c r="F27" s="6"/>
    </row>
    <row r="28" spans="1:6">
      <c r="A28" s="6" t="s">
        <v>33</v>
      </c>
      <c r="B28" s="6" t="s">
        <v>118</v>
      </c>
      <c r="C28" s="6"/>
      <c r="D28" s="6" t="s">
        <v>105</v>
      </c>
      <c r="E28" s="6"/>
      <c r="F28" s="6"/>
    </row>
    <row r="29" spans="1:6">
      <c r="A29" s="6" t="s">
        <v>33</v>
      </c>
      <c r="B29" s="6" t="s">
        <v>119</v>
      </c>
      <c r="C29" s="6"/>
      <c r="D29" s="6"/>
      <c r="E29" s="6"/>
      <c r="F29" s="6"/>
    </row>
    <row r="30" spans="1:6">
      <c r="A30" s="6" t="s">
        <v>33</v>
      </c>
      <c r="B30" s="6" t="s">
        <v>120</v>
      </c>
      <c r="C30" s="6"/>
      <c r="D30" s="6" t="s">
        <v>89</v>
      </c>
      <c r="E30" s="6"/>
      <c r="F30" s="6"/>
    </row>
    <row r="31" spans="1:6">
      <c r="A31" s="6" t="s">
        <v>33</v>
      </c>
      <c r="B31" s="6" t="s">
        <v>121</v>
      </c>
      <c r="C31" s="6"/>
      <c r="D31" s="6" t="s">
        <v>122</v>
      </c>
      <c r="E31" s="6"/>
      <c r="F31" s="6"/>
    </row>
    <row r="32" spans="1:6">
      <c r="A32" s="6" t="s">
        <v>33</v>
      </c>
      <c r="B32" s="6" t="s">
        <v>123</v>
      </c>
      <c r="C32" s="6"/>
      <c r="D32" s="6" t="s">
        <v>95</v>
      </c>
      <c r="E32" s="6"/>
      <c r="F32" s="6"/>
    </row>
    <row r="33" spans="1:6">
      <c r="A33" s="6" t="s">
        <v>33</v>
      </c>
      <c r="B33" s="6" t="s">
        <v>124</v>
      </c>
      <c r="C33" s="6"/>
      <c r="D33" s="6" t="s">
        <v>105</v>
      </c>
      <c r="E33" s="6"/>
      <c r="F33" s="6"/>
    </row>
  </sheetData>
  <autoFilter ref="A1:F33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FormatPr defaultRowHeight="15"/>
  <cols>
    <col min="1" max="1" width="30.7109375" customWidth="1"/>
    <col min="2" max="2" width="15.7109375" customWidth="1"/>
  </cols>
  <sheetData>
    <row r="1" spans="1:2">
      <c r="A1" s="2" t="s">
        <v>125</v>
      </c>
      <c r="B1" s="2" t="s">
        <v>126</v>
      </c>
    </row>
  </sheetData>
  <autoFilter ref="A1:B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cols>
    <col min="1" max="2" width="30.7109375" customWidth="1"/>
    <col min="3" max="3" width="80.7109375" customWidth="1"/>
  </cols>
  <sheetData>
    <row r="1" spans="1:3">
      <c r="A1" s="2" t="s">
        <v>127</v>
      </c>
      <c r="B1" s="2" t="s">
        <v>128</v>
      </c>
      <c r="C1" s="2" t="s">
        <v>129</v>
      </c>
    </row>
  </sheetData>
  <autoFilter ref="A1:C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cols>
    <col min="1" max="1" width="15.7109375" customWidth="1"/>
    <col min="2" max="2" width="30.7109375" customWidth="1"/>
    <col min="3" max="5" width="15.7109375" customWidth="1"/>
    <col min="6" max="6" width="100.7109375" customWidth="1"/>
  </cols>
  <sheetData>
    <row r="1" spans="1:6">
      <c r="A1" s="2" t="s">
        <v>130</v>
      </c>
      <c r="B1" s="2" t="s">
        <v>131</v>
      </c>
      <c r="C1" s="2" t="s">
        <v>132</v>
      </c>
      <c r="D1" s="2" t="s">
        <v>133</v>
      </c>
      <c r="E1" s="2" t="s">
        <v>134</v>
      </c>
      <c r="F1" s="2" t="s">
        <v>135</v>
      </c>
    </row>
    <row r="2" spans="1:6">
      <c r="A2" s="6" t="s">
        <v>33</v>
      </c>
      <c r="B2" s="6" t="s">
        <v>94</v>
      </c>
      <c r="C2" s="6" t="s">
        <v>42</v>
      </c>
      <c r="D2" s="6" t="s">
        <v>136</v>
      </c>
      <c r="E2" s="6">
        <v>99</v>
      </c>
      <c r="F2" s="6" t="s">
        <v>137</v>
      </c>
    </row>
    <row r="3" spans="1:6">
      <c r="A3" s="6" t="s">
        <v>33</v>
      </c>
      <c r="B3" s="6" t="s">
        <v>123</v>
      </c>
      <c r="C3" s="6" t="s">
        <v>42</v>
      </c>
      <c r="D3" s="6" t="s">
        <v>138</v>
      </c>
      <c r="E3" s="6">
        <v>86</v>
      </c>
      <c r="F3" s="6" t="s">
        <v>139</v>
      </c>
    </row>
  </sheetData>
  <autoFilter ref="A1:F3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cols>
    <col min="1" max="1" width="50.7109375" customWidth="1"/>
    <col min="2" max="2" width="30.7109375" customWidth="1"/>
    <col min="4" max="4" width="100.7109375" customWidth="1"/>
  </cols>
  <sheetData>
    <row r="1" spans="1:3">
      <c r="A1" s="2" t="s">
        <v>140</v>
      </c>
      <c r="B1" s="2" t="s">
        <v>141</v>
      </c>
      <c r="C1" s="2" t="s">
        <v>142</v>
      </c>
    </row>
    <row r="2" spans="1:3">
      <c r="A2" s="6" t="s">
        <v>33</v>
      </c>
      <c r="B2" s="6" t="s">
        <v>143</v>
      </c>
      <c r="C2" s="6" t="s">
        <v>40</v>
      </c>
    </row>
    <row r="3" spans="1:3">
      <c r="A3" s="6" t="s">
        <v>144</v>
      </c>
      <c r="B3" s="6" t="s">
        <v>135</v>
      </c>
      <c r="C3" s="6" t="s">
        <v>145</v>
      </c>
    </row>
    <row r="4" spans="1:3">
      <c r="A4" s="6" t="s">
        <v>146</v>
      </c>
      <c r="B4" s="6" t="s">
        <v>135</v>
      </c>
      <c r="C4" s="6" t="s">
        <v>147</v>
      </c>
    </row>
  </sheetData>
  <autoFilter ref="A1:C4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3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3" width="50.7109375" customWidth="1"/>
    <col min="4" max="4" width="100.7109375" customWidth="1"/>
  </cols>
  <sheetData>
    <row r="1" spans="1:4">
      <c r="A1" s="2" t="s">
        <v>70</v>
      </c>
      <c r="B1" s="2" t="s">
        <v>71</v>
      </c>
      <c r="C1" s="2" t="s">
        <v>148</v>
      </c>
      <c r="D1" s="2" t="s">
        <v>149</v>
      </c>
    </row>
    <row r="2" spans="1:4">
      <c r="A2" s="6" t="s">
        <v>33</v>
      </c>
      <c r="B2" s="6" t="s">
        <v>101</v>
      </c>
      <c r="C2" s="6" t="s">
        <v>150</v>
      </c>
      <c r="D2" s="6" t="s">
        <v>151</v>
      </c>
    </row>
    <row r="3" spans="1:4">
      <c r="A3" s="6" t="s">
        <v>33</v>
      </c>
      <c r="B3" s="6" t="s">
        <v>79</v>
      </c>
      <c r="C3" s="6" t="s">
        <v>152</v>
      </c>
      <c r="D3" s="6" t="s">
        <v>153</v>
      </c>
    </row>
  </sheetData>
  <autoFilter ref="A1:D3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50.7109375" customWidth="1"/>
    <col min="2" max="2" width="20.7109375" customWidth="1"/>
    <col min="3" max="4" width="30.7109375" customWidth="1"/>
  </cols>
  <sheetData>
    <row r="1" spans="1:4">
      <c r="A1" s="2" t="s">
        <v>21</v>
      </c>
      <c r="B1" s="2" t="s">
        <v>131</v>
      </c>
      <c r="C1" s="2" t="s">
        <v>154</v>
      </c>
      <c r="D1" s="2" t="s">
        <v>7</v>
      </c>
    </row>
  </sheetData>
  <autoFilter ref="A1:D1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FormatPr defaultRowHeight="15"/>
  <cols>
    <col min="1" max="1" width="25.7109375" customWidth="1"/>
    <col min="2" max="2" width="10.7109375" customWidth="1"/>
    <col min="3" max="3" width="20.7109375" customWidth="1"/>
    <col min="4" max="4" width="70.7109375" customWidth="1"/>
    <col min="5" max="5" width="10.7109375" customWidth="1"/>
    <col min="6" max="6" width="40.7109375" customWidth="1"/>
  </cols>
  <sheetData>
    <row r="1" spans="1:6">
      <c r="A1" s="1" t="s">
        <v>0</v>
      </c>
      <c r="B1" s="1"/>
      <c r="D1" s="2" t="s">
        <v>193</v>
      </c>
      <c r="E1" s="2" t="s">
        <v>4</v>
      </c>
      <c r="F1" s="2"/>
    </row>
    <row r="2" spans="1:6">
      <c r="D2" s="3" t="s">
        <v>194</v>
      </c>
      <c r="E2" s="2" t="s">
        <v>5</v>
      </c>
      <c r="F2" s="2"/>
    </row>
    <row r="3" spans="1:6">
      <c r="A3" s="4" t="s">
        <v>1</v>
      </c>
      <c r="B3" s="4"/>
      <c r="D3" s="3" t="s">
        <v>195</v>
      </c>
      <c r="E3" s="2" t="s">
        <v>6</v>
      </c>
      <c r="F3" s="2" t="s">
        <v>7</v>
      </c>
    </row>
    <row r="4" spans="1:6">
      <c r="A4" s="1" t="s">
        <v>155</v>
      </c>
      <c r="B4" s="5">
        <v>2</v>
      </c>
      <c r="D4" s="3" t="s">
        <v>196</v>
      </c>
      <c r="E4" s="2" t="s">
        <v>8</v>
      </c>
      <c r="F4" s="6"/>
    </row>
    <row r="5" spans="1:6">
      <c r="A5" s="1" t="s">
        <v>156</v>
      </c>
      <c r="B5" s="5">
        <v>2</v>
      </c>
      <c r="D5" s="3" t="s">
        <v>197</v>
      </c>
      <c r="E5" s="2" t="s">
        <v>9</v>
      </c>
      <c r="F5" s="6">
        <v>10000000000000</v>
      </c>
    </row>
    <row r="6" spans="1:6">
      <c r="A6" s="1" t="s">
        <v>157</v>
      </c>
      <c r="B6" s="5">
        <v>0</v>
      </c>
      <c r="D6" s="3" t="s">
        <v>198</v>
      </c>
      <c r="E6" s="2" t="s">
        <v>10</v>
      </c>
      <c r="F6" s="6" t="s">
        <v>11</v>
      </c>
    </row>
    <row r="7" spans="1:6">
      <c r="A7" s="1" t="s">
        <v>158</v>
      </c>
      <c r="B7" s="5">
        <v>0</v>
      </c>
      <c r="D7" s="3" t="s">
        <v>199</v>
      </c>
      <c r="E7" s="2" t="s">
        <v>12</v>
      </c>
      <c r="F7" s="6" t="s">
        <v>13</v>
      </c>
    </row>
    <row r="8" spans="1:6">
      <c r="A8" s="1" t="s">
        <v>159</v>
      </c>
      <c r="B8" s="5">
        <v>0</v>
      </c>
      <c r="D8" s="3" t="s">
        <v>200</v>
      </c>
      <c r="E8" s="2" t="s">
        <v>14</v>
      </c>
      <c r="F8" s="6">
        <v>1</v>
      </c>
    </row>
    <row r="9" spans="1:6">
      <c r="A9" s="1" t="s">
        <v>160</v>
      </c>
      <c r="B9" s="5">
        <v>0</v>
      </c>
      <c r="D9" s="3" t="s">
        <v>201</v>
      </c>
      <c r="E9" s="2" t="s">
        <v>15</v>
      </c>
      <c r="F9" s="6" t="s">
        <v>16</v>
      </c>
    </row>
    <row r="10" spans="1:6">
      <c r="A10" s="1" t="s">
        <v>161</v>
      </c>
      <c r="B10" s="5">
        <v>0</v>
      </c>
      <c r="D10" s="3" t="s">
        <v>202</v>
      </c>
      <c r="E10" s="2" t="s">
        <v>17</v>
      </c>
      <c r="F10" s="6" t="s">
        <v>18</v>
      </c>
    </row>
    <row r="11" spans="1:6">
      <c r="A11" s="1" t="s">
        <v>162</v>
      </c>
      <c r="B11" s="5">
        <v>0</v>
      </c>
      <c r="D11" s="3" t="s">
        <v>203</v>
      </c>
      <c r="E11" s="2" t="s">
        <v>19</v>
      </c>
    </row>
    <row r="12" spans="1:6">
      <c r="A12" s="1" t="s">
        <v>163</v>
      </c>
      <c r="B12" s="5">
        <v>0</v>
      </c>
      <c r="D12" s="3" t="s">
        <v>204</v>
      </c>
      <c r="E12" s="6" t="s">
        <v>174</v>
      </c>
    </row>
    <row r="13" spans="1:6">
      <c r="A13" s="1" t="s">
        <v>164</v>
      </c>
      <c r="B13" s="5">
        <v>0</v>
      </c>
      <c r="D13" s="3" t="s">
        <v>205</v>
      </c>
    </row>
    <row r="14" spans="1:6">
      <c r="A14" s="1" t="s">
        <v>165</v>
      </c>
      <c r="B14" s="5">
        <v>0</v>
      </c>
      <c r="D14" s="3" t="s">
        <v>206</v>
      </c>
    </row>
    <row r="15" spans="1:6">
      <c r="A15" s="1" t="s">
        <v>166</v>
      </c>
      <c r="B15" s="5">
        <v>0</v>
      </c>
      <c r="D15" s="3" t="s">
        <v>207</v>
      </c>
    </row>
    <row r="16" spans="1:6">
      <c r="A16" s="1" t="s">
        <v>167</v>
      </c>
      <c r="B16" s="5">
        <v>0</v>
      </c>
      <c r="D16" s="3" t="s">
        <v>208</v>
      </c>
    </row>
    <row r="17" spans="1:4">
      <c r="A17" s="1" t="s">
        <v>168</v>
      </c>
      <c r="B17" s="5">
        <v>0</v>
      </c>
      <c r="D17" s="3" t="s">
        <v>209</v>
      </c>
    </row>
    <row r="18" spans="1:4">
      <c r="A18" s="1" t="s">
        <v>169</v>
      </c>
      <c r="B18" s="5">
        <v>0</v>
      </c>
    </row>
    <row r="19" spans="1:4">
      <c r="A19" s="1" t="s">
        <v>170</v>
      </c>
      <c r="B19" s="5">
        <v>0</v>
      </c>
    </row>
    <row r="20" spans="1:4">
      <c r="A20" s="1" t="s">
        <v>171</v>
      </c>
      <c r="B20" s="5">
        <v>0</v>
      </c>
    </row>
    <row r="21" spans="1:4">
      <c r="A21" s="1" t="s">
        <v>172</v>
      </c>
      <c r="B21" s="5">
        <v>2</v>
      </c>
    </row>
    <row r="22" spans="1:4">
      <c r="A22" s="1" t="s">
        <v>173</v>
      </c>
      <c r="B22" s="5">
        <v>0</v>
      </c>
    </row>
    <row r="24" spans="1:4">
      <c r="A24" s="4" t="s">
        <v>135</v>
      </c>
      <c r="B24" s="4"/>
      <c r="C24" s="4" t="s">
        <v>143</v>
      </c>
    </row>
    <row r="25" spans="1:4">
      <c r="A25" s="4" t="s">
        <v>41</v>
      </c>
      <c r="B25" s="4"/>
      <c r="C25" s="4" t="s">
        <v>192</v>
      </c>
    </row>
    <row r="26" spans="1:4">
      <c r="A26" s="1" t="s">
        <v>42</v>
      </c>
      <c r="B26" s="5">
        <f>COUNTIFS('Embedded SQL Programs'!E:E,"LOW",'Embedded SQL Programs'!C:C,"YES",'Embedded SQL Programs'!L:L,"SQL")</f>
        <v>0</v>
      </c>
      <c r="C26" s="5">
        <f>SUMIFS('Embedded SQL Programs'!G:G,'Embedded SQL Programs'!E:E,"LOW",'Embedded SQL Programs'!C:C,"YES",'Embedded SQL Programs'!L:L,"ETL")</f>
        <v>0</v>
      </c>
    </row>
    <row r="27" spans="1:4">
      <c r="A27" s="1" t="s">
        <v>43</v>
      </c>
      <c r="B27" s="5">
        <f>COUNTIFS('Embedded SQL Programs'!E:E,"MEDIUM",'Embedded SQL Programs'!C:C,"YES",'Embedded SQL Programs'!L:L,"SQL")</f>
        <v>0</v>
      </c>
      <c r="C27" s="5">
        <f>SUMIFS('Embedded SQL Programs'!G:G,'Embedded SQL Programs'!E:E,"MEDIUM",'Embedded SQL Programs'!C:C,"YES",'Embedded SQL Programs'!L:L,"ETL")</f>
        <v>0</v>
      </c>
    </row>
    <row r="28" spans="1:4">
      <c r="A28" s="1" t="s">
        <v>37</v>
      </c>
      <c r="B28" s="5">
        <f>COUNTIFS('Embedded SQL Programs'!E:E,"HIGH",'Embedded SQL Programs'!C:C,"YES",'Embedded SQL Programs'!L:L,"SQL")</f>
        <v>0</v>
      </c>
      <c r="C28" s="5">
        <f>SUMIFS('Embedded SQL Programs'!G:G,'Embedded SQL Programs'!E:E,"HIGH",'Embedded SQL Programs'!C:C,"YES",'Embedded SQL Programs'!L:L,"ETL")</f>
        <v>0</v>
      </c>
    </row>
    <row r="29" spans="1:4">
      <c r="A29" s="1" t="s">
        <v>44</v>
      </c>
      <c r="B29" s="5">
        <f>COUNTIFS('Embedded SQL Programs'!E:E,"VERY_HIGH",'Embedded SQL Programs'!C:C,"YES",'Embedded SQL Programs'!L:L,"SQL")</f>
        <v>0</v>
      </c>
      <c r="C29" s="5">
        <f>SUMIFS('Embedded SQL Programs'!G:G,'Embedded SQL Programs'!E:E,"VERY_HIGH",'Embedded SQL Programs'!C:C,"YES",'Embedded SQL Programs'!L:L,"ETL")</f>
        <v>0</v>
      </c>
    </row>
  </sheetData>
  <mergeCells count="6">
    <mergeCell ref="A1:B1"/>
    <mergeCell ref="A3:B3"/>
    <mergeCell ref="E1:F1"/>
    <mergeCell ref="E2:F2"/>
    <mergeCell ref="A24:B24"/>
    <mergeCell ref="A25:B25"/>
  </mergeCells>
  <hyperlinks>
    <hyperlink ref="D2" location="'Summary'!A1" display="Summary"/>
    <hyperlink ref="D3" location="'Job Details'!A1" display="Job Details"/>
    <hyperlink ref="D4" location="'Transformations'!A1" display="Transformations"/>
    <hyperlink ref="D5" location="'Jobs Transformations Xref'!A1" display="Jobs Transformations Xref"/>
    <hyperlink ref="D6" location="'Jobs Transformations List'!A1" display="Jobs Transformations List"/>
    <hyperlink ref="D7" location="'Item Node Info'!A1" display="Item Node Info"/>
    <hyperlink ref="D8" location="'Functions'!A1" display="Functions"/>
    <hyperlink ref="D9" location="'Subject Areas'!A1" display="Subject Areas"/>
    <hyperlink ref="D10" location="'SQL Statements'!A1" display="SQL Statements"/>
    <hyperlink ref="D11" location="'Combined Checksums'!A1" display="Combined Checksums"/>
    <hyperlink ref="D12" location="'Transformation Expressions'!A1" display="Transformation Expressions"/>
    <hyperlink ref="D13" location="'Misc Job Attributes'!A1" display="Misc Job Attributes"/>
    <hyperlink ref="D14" location="'Embedded SQL Summary'!A1" display="Embedded SQL Summary"/>
    <hyperlink ref="D15" location="'Embedded SQL Programs'!A1" display="Embedded SQL Programs"/>
    <hyperlink ref="D16" location="'Embedded SQL Script Categories'!A1" display="Embedded SQL Script Categories"/>
    <hyperlink ref="D17" location="'Embedded SQL UNKNOWN Category'!A1" display="Embedded SQL UNKNOWN Category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L3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2" width="30.7109375" customWidth="1"/>
    <col min="3" max="4" width="10.7109375" customWidth="1"/>
    <col min="5" max="6" width="15.7109375" customWidth="1"/>
    <col min="7" max="7" width="25.7109375" customWidth="1"/>
    <col min="8" max="8" width="30.7109375" customWidth="1"/>
    <col min="9" max="11" width="100.7109375" customWidth="1"/>
    <col min="12" max="12" width="30.7109375" customWidth="1"/>
  </cols>
  <sheetData>
    <row r="1" spans="1:12">
      <c r="A1" s="2" t="s">
        <v>175</v>
      </c>
      <c r="B1" s="2" t="s">
        <v>23</v>
      </c>
      <c r="C1" s="2" t="s">
        <v>24</v>
      </c>
      <c r="D1" s="2" t="s">
        <v>176</v>
      </c>
      <c r="E1" s="2" t="s">
        <v>132</v>
      </c>
      <c r="F1" s="2" t="s">
        <v>177</v>
      </c>
      <c r="G1" s="2" t="s">
        <v>178</v>
      </c>
      <c r="H1" s="2" t="s">
        <v>179</v>
      </c>
      <c r="I1" s="2" t="s">
        <v>28</v>
      </c>
      <c r="J1" s="2" t="s">
        <v>29</v>
      </c>
      <c r="K1" s="2" t="s">
        <v>30</v>
      </c>
      <c r="L1" s="2" t="s">
        <v>180</v>
      </c>
    </row>
    <row r="2" spans="1:12">
      <c r="A2" s="6" t="s">
        <v>181</v>
      </c>
      <c r="B2" s="6" t="s">
        <v>182</v>
      </c>
      <c r="C2" s="6" t="s">
        <v>35</v>
      </c>
      <c r="D2" s="6">
        <v>1</v>
      </c>
      <c r="E2" s="6" t="s">
        <v>42</v>
      </c>
      <c r="F2" s="6">
        <v>1</v>
      </c>
      <c r="G2" s="6">
        <v>0</v>
      </c>
      <c r="H2" s="6" t="s">
        <v>138</v>
      </c>
      <c r="I2" s="6" t="s">
        <v>183</v>
      </c>
      <c r="J2" s="6" t="s">
        <v>184</v>
      </c>
      <c r="K2" s="6" t="s">
        <v>145</v>
      </c>
      <c r="L2" s="6" t="s">
        <v>135</v>
      </c>
    </row>
    <row r="3" spans="1:12">
      <c r="A3" s="6" t="s">
        <v>185</v>
      </c>
      <c r="B3" s="6" t="s">
        <v>186</v>
      </c>
      <c r="C3" s="6" t="s">
        <v>35</v>
      </c>
      <c r="D3" s="6">
        <v>1</v>
      </c>
      <c r="E3" s="6" t="s">
        <v>42</v>
      </c>
      <c r="F3" s="6">
        <v>1</v>
      </c>
      <c r="G3" s="6">
        <v>0</v>
      </c>
      <c r="H3" s="6" t="s">
        <v>138</v>
      </c>
      <c r="I3" s="6" t="s">
        <v>183</v>
      </c>
      <c r="J3" s="6" t="s">
        <v>187</v>
      </c>
      <c r="K3" s="6" t="s">
        <v>147</v>
      </c>
      <c r="L3" s="6" t="s">
        <v>135</v>
      </c>
    </row>
  </sheetData>
  <autoFilter ref="A1:L3"/>
  <conditionalFormatting sqref="A2:I9999">
    <cfRule type="expression" dxfId="0" priority="1">
      <formula>AND($A2 &lt;&gt; "", $C2 &lt;&gt; "YES")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B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30.7109375" customWidth="1"/>
    <col min="2" max="2" width="15.7109375" customWidth="1"/>
  </cols>
  <sheetData>
    <row r="1" spans="1:2">
      <c r="A1" s="2" t="s">
        <v>188</v>
      </c>
      <c r="B1" s="2" t="s">
        <v>47</v>
      </c>
    </row>
    <row r="2" spans="1:2">
      <c r="A2" s="6" t="s">
        <v>138</v>
      </c>
      <c r="B2" s="6">
        <v>2</v>
      </c>
    </row>
  </sheetData>
  <autoFilter ref="A1:B2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B3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00.7109375" customWidth="1"/>
    <col min="2" max="2" width="30.7109375" customWidth="1"/>
  </cols>
  <sheetData>
    <row r="1" spans="1:2">
      <c r="A1" s="2" t="s">
        <v>189</v>
      </c>
      <c r="B1" s="2" t="s">
        <v>47</v>
      </c>
    </row>
    <row r="2" spans="1:2">
      <c r="A2" s="6" t="s">
        <v>190</v>
      </c>
      <c r="B2" s="6">
        <v>1</v>
      </c>
    </row>
    <row r="3" spans="1:2">
      <c r="A3" s="6" t="s">
        <v>191</v>
      </c>
      <c r="B3" s="6">
        <v>1</v>
      </c>
    </row>
  </sheetData>
  <autoFilter ref="A1:B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Summary</vt:lpstr>
      <vt:lpstr>Job Details</vt:lpstr>
      <vt:lpstr>Transformations</vt:lpstr>
      <vt:lpstr>Jobs Transformations Xref</vt:lpstr>
      <vt:lpstr>Jobs Transformations List</vt:lpstr>
      <vt:lpstr>Item Node Info</vt:lpstr>
      <vt:lpstr>Functions</vt:lpstr>
      <vt:lpstr>Subject Areas</vt:lpstr>
      <vt:lpstr>SQL Statements</vt:lpstr>
      <vt:lpstr>Combined Checksums</vt:lpstr>
      <vt:lpstr>Transformation Expressions</vt:lpstr>
      <vt:lpstr>Misc Job Attributes</vt:lpstr>
      <vt:lpstr>Embedded SQL Summary</vt:lpstr>
      <vt:lpstr>Embedded SQL Programs</vt:lpstr>
      <vt:lpstr>Embedded SQL Script Categories</vt:lpstr>
      <vt:lpstr>Embedded SQL UNKNOWN Category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2026-03-25T07:27:42Z</dcterms:created>
  <dcterms:modified xsi:type="dcterms:W3CDTF">2026-03-25T07:27:42Z</dcterms:modified>
</cp:coreProperties>
</file>